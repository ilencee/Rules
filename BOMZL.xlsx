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</externalReferences>
  <definedNames>
    <definedName name="_xlnm._FilterDatabase" localSheetId="1" hidden="1">sheet2!$A$1:$B$41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<sst xmlns="http://schemas.openxmlformats.org/spreadsheetml/2006/main" count="91" uniqueCount="53">
  <si>
    <r>
      <t>BOM</t>
    </r>
    <r>
      <rPr>
        <sz val="11"/>
        <color theme="1"/>
        <rFont val="宋体"/>
        <charset val="134"/>
      </rPr>
      <t>数量（旧公式）</t>
    </r>
  </si>
  <si>
    <r>
      <rPr>
        <sz val="11"/>
        <color theme="1"/>
        <rFont val="宋体"/>
        <charset val="134"/>
      </rPr>
      <t>计算</t>
    </r>
    <r>
      <rPr>
        <sz val="11"/>
        <color theme="1"/>
        <rFont val="Times New Roman"/>
        <charset val="134"/>
      </rPr>
      <t>BOM</t>
    </r>
    <r>
      <rPr>
        <sz val="11"/>
        <color theme="1"/>
        <rFont val="宋体"/>
        <charset val="134"/>
      </rPr>
      <t>数量</t>
    </r>
  </si>
  <si>
    <r>
      <rPr>
        <sz val="11"/>
        <color theme="1"/>
        <rFont val="宋体"/>
        <charset val="134"/>
      </rPr>
      <t>排序</t>
    </r>
  </si>
  <si>
    <r>
      <rPr>
        <sz val="11"/>
        <color theme="1"/>
        <rFont val="宋体"/>
        <charset val="134"/>
      </rPr>
      <t>顶层</t>
    </r>
  </si>
  <si>
    <r>
      <rPr>
        <sz val="11"/>
        <color theme="1"/>
        <rFont val="宋体"/>
        <charset val="134"/>
      </rPr>
      <t>底层</t>
    </r>
  </si>
  <si>
    <r>
      <rPr>
        <sz val="11"/>
        <color theme="1"/>
        <rFont val="宋体"/>
        <charset val="134"/>
      </rPr>
      <t>匹配封装使用</t>
    </r>
  </si>
  <si>
    <r>
      <t xml:space="preserve"> A1,CN22,B2,B20</t>
    </r>
    <r>
      <rPr>
        <sz val="11"/>
        <color theme="1"/>
        <rFont val="宋体"/>
        <charset val="134"/>
      </rPr>
      <t>，，，</t>
    </r>
  </si>
  <si>
    <r>
      <t>LET(data_range,[BOMZL.xlsx]sheet2!$A$2:$B$2000,src,A1,k_list,INDEX(data_range,,1),v_list,INDEX(data_range,,2),items,TRIM(TEXTSPLIT(SUBSTITUTE(src,"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",","),",")),match_logic,MAP(items,LAMBDA(x,LET(k,FILTER(k_list,k_list&lt;&gt;""),v,FILTER(v_list,k_list&lt;&gt;""),IFERROR(LOOKUP(1,0/SEARCH(k,x),v),"</t>
    </r>
    <r>
      <rPr>
        <sz val="11"/>
        <color theme="1"/>
        <rFont val="宋体"/>
        <charset val="134"/>
      </rPr>
      <t>人工</t>
    </r>
    <r>
      <rPr>
        <sz val="11"/>
        <color theme="1"/>
        <rFont val="Times New Roman"/>
        <charset val="134"/>
      </rPr>
      <t>")))),TEXTJOIN(",",TRUE,match_logic))</t>
    </r>
  </si>
  <si>
    <t>C1,C2,C3,C4,C5</t>
  </si>
  <si>
    <t>C6,C5,C3,C8</t>
  </si>
  <si>
    <t>0603 F  1K</t>
  </si>
  <si>
    <t>0805  J  2.2uF</t>
  </si>
  <si>
    <t>关键词 (列 A)</t>
  </si>
  <si>
    <t>所属工艺 (列 B)</t>
  </si>
  <si>
    <t>编带</t>
  </si>
  <si>
    <t>AI</t>
  </si>
  <si>
    <t>01005</t>
  </si>
  <si>
    <t>SMT</t>
  </si>
  <si>
    <t>0201</t>
  </si>
  <si>
    <t>0402</t>
  </si>
  <si>
    <t>0603</t>
  </si>
  <si>
    <t>0805</t>
  </si>
  <si>
    <t>SOT-23</t>
  </si>
  <si>
    <t>SOT-223</t>
  </si>
  <si>
    <t>SOT</t>
  </si>
  <si>
    <t>SOP</t>
  </si>
  <si>
    <t>SOIC</t>
  </si>
  <si>
    <t>QFN</t>
  </si>
  <si>
    <t>LQFP</t>
  </si>
  <si>
    <t>BGA</t>
  </si>
  <si>
    <t>TQFP</t>
  </si>
  <si>
    <t>SMD</t>
  </si>
  <si>
    <t>贴片</t>
  </si>
  <si>
    <t>TO-252</t>
  </si>
  <si>
    <t>TO-263</t>
  </si>
  <si>
    <t>TO-268</t>
  </si>
  <si>
    <t>TO-236</t>
  </si>
  <si>
    <t>TO-243</t>
  </si>
  <si>
    <t>TO-251</t>
  </si>
  <si>
    <t>ABS</t>
  </si>
  <si>
    <t>DBS</t>
  </si>
  <si>
    <t>卧式</t>
  </si>
  <si>
    <t>手工</t>
  </si>
  <si>
    <t>DIP</t>
  </si>
  <si>
    <t>TO-92</t>
  </si>
  <si>
    <t>TO-220</t>
  </si>
  <si>
    <t>TO-247</t>
  </si>
  <si>
    <t>TO-3P</t>
  </si>
  <si>
    <t>PDIP</t>
  </si>
  <si>
    <t>2mm</t>
  </si>
  <si>
    <t>坐标文件</t>
  </si>
  <si>
    <t>客户BOM</t>
  </si>
  <si>
    <t>1K 5% 0603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</si>
</sst>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wrapText="1" readingOrder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Fill="1" applyAlignment="1"/>
    <xf numFmtId="0" fontId="2" fillId="0" borderId="0" xfId="0" applyFont="1" applyAlignment="1">
      <alignment vertical="center" wrapText="1"/>
    </xf>
    <xf numFmtId="0" fontId="1" fillId="0" borderId="1" xfId="0" applyFont="1" applyBorder="1" applyAlignment="1" quotePrefix="1">
      <alignment horizont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86249\Desktop\ZB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C1</v>
          </cell>
          <cell r="B1" t="str">
            <v>top</v>
          </cell>
        </row>
        <row r="2">
          <cell r="A2" t="str">
            <v>C2</v>
          </cell>
          <cell r="B2" t="str">
            <v>bottom</v>
          </cell>
        </row>
        <row r="3">
          <cell r="A3" t="str">
            <v>C3</v>
          </cell>
          <cell r="B3" t="str">
            <v>bottom</v>
          </cell>
        </row>
        <row r="4">
          <cell r="A4" t="str">
            <v>C4</v>
          </cell>
          <cell r="B4" t="str">
            <v>bottom</v>
          </cell>
        </row>
        <row r="5">
          <cell r="A5" t="str">
            <v>C5</v>
          </cell>
          <cell r="B5" t="str">
            <v>top</v>
          </cell>
        </row>
        <row r="6">
          <cell r="A6" t="str">
            <v>C6</v>
          </cell>
          <cell r="B6" t="str">
            <v>bottom</v>
          </cell>
        </row>
        <row r="7">
          <cell r="A7" t="str">
            <v>C7</v>
          </cell>
          <cell r="B7" t="str">
            <v>bottom</v>
          </cell>
        </row>
        <row r="8">
          <cell r="A8" t="str">
            <v>C8</v>
          </cell>
          <cell r="B8" t="str">
            <v>bottom</v>
          </cell>
        </row>
        <row r="9">
          <cell r="A9" t="str">
            <v>C9</v>
          </cell>
          <cell r="B9" t="str">
            <v>bottom</v>
          </cell>
        </row>
        <row r="10">
          <cell r="A10" t="str">
            <v>C10</v>
          </cell>
          <cell r="B10" t="str">
            <v>top</v>
          </cell>
        </row>
        <row r="11">
          <cell r="A11" t="str">
            <v>C11</v>
          </cell>
          <cell r="B11" t="str">
            <v>top</v>
          </cell>
        </row>
        <row r="12">
          <cell r="A12" t="str">
            <v>C12</v>
          </cell>
          <cell r="B12" t="str">
            <v>bottom</v>
          </cell>
        </row>
        <row r="13">
          <cell r="A13" t="str">
            <v>C13</v>
          </cell>
          <cell r="B13" t="str">
            <v>top</v>
          </cell>
        </row>
        <row r="14">
          <cell r="A14" t="str">
            <v>C14</v>
          </cell>
          <cell r="B14" t="str">
            <v>top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zoomScale="130" zoomScaleNormal="130" workbookViewId="0">
      <selection activeCell="E10" sqref="E10"/>
    </sheetView>
  </sheetViews>
  <sheetFormatPr defaultColWidth="9" defaultRowHeight="13.5" outlineLevelCol="6"/>
  <cols>
    <col min="1" max="1" width="21.3583333333333" customWidth="1"/>
    <col min="2" max="2" width="18.5833333333333" customWidth="1"/>
    <col min="3" max="3" width="13.3" customWidth="1"/>
    <col min="4" max="4" width="16.025" customWidth="1"/>
    <col min="5" max="5" width="24.6083333333333" customWidth="1"/>
  </cols>
  <sheetData>
    <row r="1" ht="15" spans="1:7">
      <c r="A1" s="3"/>
      <c r="B1" s="4" t="s">
        <v>0</v>
      </c>
      <c r="C1" s="5" t="s">
        <v>1</v>
      </c>
      <c r="D1" s="5" t="s">
        <v>2</v>
      </c>
      <c r="E1" s="6" t="s">
        <v>3</v>
      </c>
      <c r="F1" s="6" t="s">
        <v>4</v>
      </c>
      <c r="G1" s="6" t="s">
        <v>5</v>
      </c>
    </row>
    <row r="2" ht="15" spans="1:7">
      <c r="A2" s="4" t="s">
        <v>6</v>
      </c>
      <c r="B2" s="3">
        <f>IF(TRIM(A2)="",0,LEN(TRIM(SUBSTITUTE(SUBSTITUTE(SUBSTITUTE(A2,"，"," "),","," "),"  "," ")))-LEN(SUBSTITUTE(TRIM(SUBSTITUTE(SUBSTITUTE(SUBSTITUTE(A2,"，"," "),","," "),"  "," "))," ",""))+1)</f>
        <v>4</v>
      </c>
      <c r="C2" s="7">
        <f>_xlfn.LET(_xlpm.t,TRIM(SUBSTITUTE(SUBSTITUTE(SUBSTITUTE(A2,"，"," "),","," "),"  "," ")),IF(_xlpm.t="",0,LEN(_xlpm.t)-LEN(SUBSTITUTE(_xlpm.t," ",""))+1))</f>
        <v>4</v>
      </c>
      <c r="D2" s="4" t="str" cm="1">
        <f t="array" ref="D2">_xlfn.LET(_xlpm.raw,A2,_xlpm.items,TRIM(_xlfn.TEXTSPLIT(SUBSTITUTE(_xlpm.raw,"，",","),",")),_xlpm.valid,_xlfn._xlws.FILTER(_xlpm.items,_xlpm.items&lt;&gt;""),_xlpm.get_alpha,_xlfn.MAP(_xlpm.valid,_xlfn.LAMBDA(_xlpm.m,_xlfn.TEXTJOIN("",TRUE,IF(ISERROR(MID(_xlpm.m,_xlfn.SEQUENCE(LEN(_xlpm.m)),1)*1),MID(_xlpm.m,_xlfn.SEQUENCE(LEN(_xlpm.m)),1),"")))),_xlpm.get_num,_xlfn.MAP(_xlpm.valid,_xlfn.LAMBDA(_xlpm.m,VALUE(_xlfn.TEXTJOIN("",TRUE,IFERROR(MID(_xlpm.m,_xlfn.SEQUENCE(LEN(_xlpm.m)),1)*1,""))))),_xlfn.TEXTJOIN(",",TRUE,_xlfn.SORTBY(_xlpm.valid,_xlpm.get_alpha,1,_xlpm.get_num,1)))</f>
        <v>A1,B2,B20,CN22</v>
      </c>
      <c r="E2" s="8"/>
      <c r="F2" s="8"/>
      <c r="G2" s="9" t="s">
        <v>7</v>
      </c>
    </row>
    <row r="3" ht="15" spans="1:7">
      <c r="A3" s="6" t="s">
        <v>8</v>
      </c>
      <c r="B3" s="8"/>
      <c r="C3" s="8"/>
      <c r="D3" s="8"/>
      <c r="E3" s="10" t="str" cm="1">
        <f t="array" ref="E3">_xlfn.LET(_xlpm.source,A3,_xlpm.items,TRIM(_xlfn.TEXTSPLIT(SUBSTITUTE(_xlpm.source,"，",","),",")),_xlpm.layers,_xlfn.MAP(_xlpm.items,_xlfn.LAMBDA(_xlpm.d,IFERROR(_xlfn.XLOOKUP(_xlpm.d,[1]Sheet1!$A:$A,[1]Sheet1!$B:$B),"MISSING"))),_xlpm.top_items,_xlfn._xlws.FILTER(_xlpm.items,(_xlpm.layers="Top")+(_xlpm.layers="T"),""),_xlfn.TEXTJOIN(",",TRUE,_xlpm.top_items))</f>
        <v>C1,C5</v>
      </c>
      <c r="F3" s="10" t="str" cm="1">
        <f t="array" ref="F3">_xlfn.LET(_xlpm.source,A3,_xlpm.items,TRIM(_xlfn.TEXTSPLIT(SUBSTITUTE(_xlpm.source,"，",","),",")),_xlpm.layers,_xlfn.MAP(_xlpm.items,_xlfn.LAMBDA(_xlpm.d,IFERROR(_xlfn.XLOOKUP(_xlpm.d,[1]Sheet1!$A:$A,[1]Sheet1!$B:$B),"MISSING"))),_xlpm.bot_items,_xlfn._xlws.FILTER(_xlpm.items,(_xlpm.layers="Bottom")+(_xlpm.layers="B"),""),_xlfn.TEXTJOIN(",",TRUE,_xlpm.bot_items))</f>
        <v>C2,C3,C4</v>
      </c>
      <c r="G3" s="8"/>
    </row>
    <row r="4" ht="15" spans="1:7">
      <c r="A4" s="6" t="s">
        <v>9</v>
      </c>
      <c r="B4" s="8"/>
      <c r="C4" s="8"/>
      <c r="D4" s="8"/>
      <c r="E4" s="10" t="str" cm="1">
        <f t="array" ref="E4">_xlfn.LET(_xlpm.source,A4,_xlpm.items,TRIM(_xlfn.TEXTSPLIT(SUBSTITUTE(_xlpm.source,"，",","),",")),_xlpm.layers,_xlfn.MAP(_xlpm.items,_xlfn.LAMBDA(_xlpm.d,IFERROR(_xlfn.XLOOKUP(_xlpm.d,[1]Sheet1!$A:$A,[1]Sheet1!$B:$B),"MISSING"))),_xlpm.top_items,_xlfn._xlws.FILTER(_xlpm.items,(_xlpm.layers="Top")+(_xlpm.layers="T"),""),_xlfn.TEXTJOIN(",",TRUE,_xlpm.top_items))</f>
        <v>C5</v>
      </c>
      <c r="F4" s="10" t="str" cm="1">
        <f t="array" ref="F4">_xlfn.LET(_xlpm.source,A4,_xlpm.items,TRIM(_xlfn.TEXTSPLIT(SUBSTITUTE(_xlpm.source,"，",","),",")),_xlpm.layers,_xlfn.MAP(_xlpm.items,_xlfn.LAMBDA(_xlpm.d,IFERROR(_xlfn.XLOOKUP(_xlpm.d,[1]Sheet1!$A:$A,[1]Sheet1!$B:$B),"MISSING"))),_xlpm.bot_items,_xlfn._xlws.FILTER(_xlpm.items,(_xlpm.layers="Bottom")+(_xlpm.layers="B"),""),_xlfn.TEXTJOIN(",",TRUE,_xlpm.bot_items))</f>
        <v>C6,C3,C8</v>
      </c>
      <c r="G4" s="8"/>
    </row>
    <row r="5" ht="15" spans="1:7">
      <c r="A5" s="6" t="s">
        <v>10</v>
      </c>
      <c r="B5" s="8"/>
      <c r="C5" s="8"/>
      <c r="D5" s="8"/>
      <c r="E5" s="10" t="str" cm="1">
        <f t="array" ref="E5">_xlfn.LET(_xlpm.src_cell,A5,_xlpm.src,UPPER(TRIM(_xlpm.src_cell)),IF(_xlpm.src="","",_xlfn.LET(_xlpm.pkg_list,{"01005","0201","0402","0603","0805","1206","1210","1812","2010","2512"},_xlpm.pkg,IFERROR(INDEX(_xlpm.pkg_list,MATCH(TRUE,ISNUMBER(SEARCH(_xlpm.pkg_list,_xlpm.src)),0)),"NA"),_xlpm.is_C,OR(ISNUMBER(SEARCH({"UF","NF","PF","CAP"," C "}," "&amp;_xlpm.src&amp;" "))),_xlpm.is_R,OR(ISNUMBER(SEARCH({"K","M","OHM","RES"," R "}," "&amp;_xlpm.src&amp;" ")),AND(NOT(_xlpm.is_C),ISNUMBER(SEARCH("R",_xlpm.src)))),_xlpm.type_m,IF(_xlpm.is_C,"电容",IF(_xlpm.is_R,"电阻","其他")),_xlpm.rem_text,SUBSTITUTE(_xlpm.src,_xlpm.pkg,""),_xlpm.v_raw,MID(_xlpm.rem_text,MIN(IFERROR(SEARCH({0,1,2,3,4,5,6,7,8,9},_xlpm.rem_text),999)),10),_xlpm.val_pure,TRIM(LEFT(_xlpm.v_raw,MIN(IFERROR(SEARCH({" ","F","J","%","/"},_xlpm.v_raw&amp;" "),999))-1)),_xlpm.unit_mult,IF(_xlpm.type_m="电阻",0,IF(ISNUMBER(SEARCH("UF",_xlpm.src)),1000000,IF(ISNUMBER(SEARCH("NF",_xlpm.src)),1000,IF(ISNUMBER(SEARCH("PF",_xlpm.src)),1,0)))),_xlpm.final_val,IF(_xlpm.unit_mult=0,_xlpm.val_pure,_xlfn.LET(_xlpm.num,IFERROR(LOOKUP(9.9E+307,--MID(_xlpm.val_pure,1,{1,2,3,4,5,6,7})),0),_xlpm.pf,_xlpm.num*_xlpm.unit_mult,IF(_xlpm.pf=0,_xlpm.val_pure,_xlfn.LET(_xlpm.pwr,INT(LOG10(_xlpm.pf))-1,ROUND(_xlpm.pf/(10^_xlpm.pwr),0)&amp;_xlpm.pwr)))),_xlpm.tol,IF(OR(ISNUMBER(SEARCH(" F "," "&amp;_xlpm.src&amp;" ")),ISNUMBER(SEARCH("1%",_xlpm.src))),"1%",IF(OR(ISNUMBER(SEARCH(" J "," "&amp;_xlpm.src&amp;" ")),ISNUMBER(SEARCH("5%",_xlpm.src))),"5%","")),TRIM(_xlpm.type_m&amp;" "&amp;_xlpm.pkg&amp;" "&amp;_xlpm.final_val&amp;IF(_xlpm.type_m="电阻","Ω","")&amp;" "&amp;_xlpm.tol))))</f>
        <v>电阻 0603 1KΩ 1%</v>
      </c>
      <c r="F5" s="8"/>
      <c r="G5" s="8"/>
    </row>
    <row r="6" ht="15" spans="1:7">
      <c r="A6" s="6" t="s">
        <v>11</v>
      </c>
      <c r="B6" s="8"/>
      <c r="C6" s="8"/>
      <c r="D6" s="8"/>
      <c r="E6" s="10" t="str" cm="1">
        <f t="array" ref="E6">_xlfn.LET(_xlpm.src_cell,A6,_xlpm.src,UPPER(TRIM(_xlpm.src_cell)),IF(_xlpm.src="","",_xlfn.LET(_xlpm.pkg_list,{"01005","0201","0402","0603","0805","1206","1210","1812","2010","2512"},_xlpm.pkg,IFERROR(INDEX(_xlpm.pkg_list,MATCH(TRUE,ISNUMBER(SEARCH(_xlpm.pkg_list,_xlpm.src)),0)),"NA"),_xlpm.is_C,OR(ISNUMBER(SEARCH({"UF","NF","PF","CAP"," C "}," "&amp;_xlpm.src&amp;" "))),_xlpm.is_R,OR(ISNUMBER(SEARCH({"K","M","OHM","RES"," R "}," "&amp;_xlpm.src&amp;" ")),AND(NOT(_xlpm.is_C),ISNUMBER(SEARCH("R",_xlpm.src)))),_xlpm.type_m,IF(_xlpm.is_C,"电容",IF(_xlpm.is_R,"电阻","其他")),_xlpm.rem_text,SUBSTITUTE(_xlpm.src,_xlpm.pkg,""),_xlpm.v_raw,MID(_xlpm.rem_text,MIN(IFERROR(SEARCH({0,1,2,3,4,5,6,7,8,9},_xlpm.rem_text),999)),10),_xlpm.val_pure,TRIM(LEFT(_xlpm.v_raw,MIN(IFERROR(SEARCH({" ","F","J","%","/"},_xlpm.v_raw&amp;" "),999))-1)),_xlpm.unit_mult,IF(_xlpm.type_m="电阻",0,IF(ISNUMBER(SEARCH("UF",_xlpm.src)),1000000,IF(ISNUMBER(SEARCH("NF",_xlpm.src)),1000,IF(ISNUMBER(SEARCH("PF",_xlpm.src)),1,0)))),_xlpm.final_val,IF(_xlpm.unit_mult=0,_xlpm.val_pure,_xlfn.LET(_xlpm.num,IFERROR(LOOKUP(9.9E+307,--MID(_xlpm.val_pure,1,{1,2,3,4,5,6,7})),0),_xlpm.pf,_xlpm.num*_xlpm.unit_mult,IF(_xlpm.pf=0,_xlpm.val_pure,_xlfn.LET(_xlpm.pwr,INT(LOG10(_xlpm.pf))-1,ROUND(_xlpm.pf/(10^_xlpm.pwr),0)&amp;_xlpm.pwr)))),_xlpm.tol,IF(OR(ISNUMBER(SEARCH(" F "," "&amp;_xlpm.src&amp;" ")),ISNUMBER(SEARCH("1%",_xlpm.src))),"1%",IF(OR(ISNUMBER(SEARCH(" J "," "&amp;_xlpm.src&amp;" ")),ISNUMBER(SEARCH("5%",_xlpm.src))),"5%","")),TRIM(_xlpm.type_m&amp;" "&amp;_xlpm.pkg&amp;" "&amp;_xlpm.final_val&amp;IF(_xlpm.type_m="电阻","Ω","")&amp;" "&amp;_xlpm.tol))))</f>
        <v>电容 0805 225 5%</v>
      </c>
      <c r="F6" s="8"/>
      <c r="G6" s="8"/>
    </row>
    <row r="7" ht="15" spans="1:7">
      <c r="A7" s="6"/>
      <c r="B7" s="8"/>
      <c r="C7" s="8"/>
      <c r="D7" s="8"/>
      <c r="E7" s="10" t="str" cm="1">
        <f t="array" ref="E7">_xlfn.LET(_xlpm.src_cell,A7,_xlpm.src,UPPER(TRIM(_xlpm.src_cell)),IF(_xlpm.src="","",_xlfn.LET(_xlpm.pkg_list,{"01005","0201","0402","0603","0805","1206","1210","1812","2010","2512"},_xlpm.pkg,IFERROR(INDEX(_xlpm.pkg_list,MATCH(TRUE,ISNUMBER(SEARCH(_xlpm.pkg_list,_xlpm.src)),0)),"NA"),_xlpm.is_C,OR(ISNUMBER(SEARCH({"UF","NF","PF","CAP"," C "}," "&amp;_xlpm.src&amp;" "))),_xlpm.is_R,OR(ISNUMBER(SEARCH({"K","M","OHM","RES"," R "}," "&amp;_xlpm.src&amp;" ")),AND(NOT(_xlpm.is_C),ISNUMBER(SEARCH("R",_xlpm.src)))),_xlpm.type_m,IF(_xlpm.is_C,"电容",IF(_xlpm.is_R,"电阻","其他")),_xlpm.rem_text,SUBSTITUTE(_xlpm.src,_xlpm.pkg,""),_xlpm.v_raw,MID(_xlpm.rem_text,MIN(IFERROR(SEARCH({0,1,2,3,4,5,6,7,8,9},_xlpm.rem_text),999)),10),_xlpm.val_pure,TRIM(LEFT(_xlpm.v_raw,MIN(IFERROR(SEARCH({" ","F","J","%","/"},_xlpm.v_raw&amp;" "),999))-1)),_xlpm.unit_mult,IF(_xlpm.type_m="电阻",0,IF(ISNUMBER(SEARCH("UF",_xlpm.src)),1000000,IF(ISNUMBER(SEARCH("NF",_xlpm.src)),1000,IF(ISNUMBER(SEARCH("PF",_xlpm.src)),1,0)))),_xlpm.final_val,IF(_xlpm.unit_mult=0,_xlpm.val_pure,_xlfn.LET(_xlpm.num,IFERROR(LOOKUP(9.9E+307,--MID(_xlpm.val_pure,1,{1,2,3,4,5,6,7})),0),_xlpm.pf,_xlpm.num*_xlpm.unit_mult,IF(_xlpm.pf=0,_xlpm.val_pure,_xlfn.LET(_xlpm.pwr,INT(LOG10(_xlpm.pf))-1,ROUND(_xlpm.pf/(10^_xlpm.pwr),0)&amp;_xlpm.pwr)))),_xlpm.tol,IF(OR(ISNUMBER(SEARCH(" F "," "&amp;_xlpm.src&amp;" ")),ISNUMBER(SEARCH("1%",_xlpm.src))),"1%",IF(OR(ISNUMBER(SEARCH(" J "," "&amp;_xlpm.src&amp;" ")),ISNUMBER(SEARCH("5%",_xlpm.src))),"5%","")),TRIM(_xlpm.type_m&amp;" "&amp;_xlpm.pkg&amp;" "&amp;_xlpm.final_val&amp;IF(_xlpm.type_m="电阻","Ω","")&amp;" "&amp;_xlpm.tol))))</f>
        <v/>
      </c>
      <c r="F7" s="8"/>
      <c r="G7" s="8"/>
    </row>
    <row r="8" ht="15" spans="1:7">
      <c r="A8" s="6"/>
      <c r="B8" s="8"/>
      <c r="C8" s="8"/>
      <c r="D8" s="8"/>
      <c r="E8" s="10" t="str" cm="1">
        <f t="array" ref="E8">_xlfn.LET(_xlpm.src_cell,A8,_xlpm.src,UPPER(TRIM(_xlpm.src_cell)),IF(_xlpm.src="","",_xlfn.LET(_xlpm.pkg_list,{"01005","0201","0402","0603","0805","1206","1210","1812","2010","2512"},_xlpm.pkg,IFERROR(INDEX(_xlpm.pkg_list,MATCH(TRUE,ISNUMBER(SEARCH(_xlpm.pkg_list,_xlpm.src)),0)),"NA"),_xlpm.is_C,OR(ISNUMBER(SEARCH({"UF","NF","PF","CAP"," C "}," "&amp;_xlpm.src&amp;" "))),_xlpm.is_R,OR(ISNUMBER(SEARCH({"K","M","OHM","RES"," R "}," "&amp;_xlpm.src&amp;" ")),AND(NOT(_xlpm.is_C),ISNUMBER(SEARCH("R",_xlpm.src)))),_xlpm.type_m,IF(_xlpm.is_C,"电容",IF(_xlpm.is_R,"电阻","其他")),_xlpm.rem_text,SUBSTITUTE(_xlpm.src,_xlpm.pkg,""),_xlpm.v_raw,MID(_xlpm.rem_text,MIN(IFERROR(SEARCH({0,1,2,3,4,5,6,7,8,9},_xlpm.rem_text),999)),10),_xlpm.val_pure,TRIM(LEFT(_xlpm.v_raw,MIN(IFERROR(SEARCH({" ","F","J","%","/"},_xlpm.v_raw&amp;" "),999))-1)),_xlpm.unit_mult,IF(_xlpm.type_m="电阻",0,IF(ISNUMBER(SEARCH("UF",_xlpm.src)),1000000,IF(ISNUMBER(SEARCH("NF",_xlpm.src)),1000,IF(ISNUMBER(SEARCH("PF",_xlpm.src)),1,0)))),_xlpm.final_val,IF(_xlpm.unit_mult=0,_xlpm.val_pure,_xlfn.LET(_xlpm.num,IFERROR(LOOKUP(9.9E+307,--MID(_xlpm.val_pure,1,{1,2,3,4,5,6,7})),0),_xlpm.pf,_xlpm.num*_xlpm.unit_mult,IF(_xlpm.pf=0,_xlpm.val_pure,_xlfn.LET(_xlpm.pwr,INT(LOG10(_xlpm.pf))-1,ROUND(_xlpm.pf/(10^_xlpm.pwr),0)&amp;_xlpm.pwr)))),_xlpm.tol,IF(OR(ISNUMBER(SEARCH(" F "," "&amp;_xlpm.src&amp;" ")),ISNUMBER(SEARCH("1%",_xlpm.src))),"1%",IF(OR(ISNUMBER(SEARCH(" J "," "&amp;_xlpm.src&amp;" ")),ISNUMBER(SEARCH("5%",_xlpm.src))),"5%","")),TRIM(_xlpm.type_m&amp;" "&amp;_xlpm.pkg&amp;" "&amp;_xlpm.final_val&amp;IF(_xlpm.type_m="电阻","Ω","")&amp;" "&amp;_xlpm.tol))))</f>
        <v/>
      </c>
      <c r="F8" s="8"/>
      <c r="G8" s="8"/>
    </row>
    <row r="9" ht="15" spans="1:7">
      <c r="A9" s="8"/>
      <c r="B9" s="8"/>
      <c r="C9" s="8"/>
      <c r="D9" s="8"/>
      <c r="E9" s="10" t="str" cm="1">
        <f t="array" ref="E9">_xlfn.LET(_xlpm.src_cell,A9,_xlpm.src,UPPER(TRIM(_xlpm.src_cell)),IF(_xlpm.src="","",_xlfn.LET(_xlpm.pkg_list,{"01005","0201","0402","0603","0805","1206","1210","1812","2010","2512"},_xlpm.pkg,IFERROR(INDEX(_xlpm.pkg_list,MATCH(TRUE,ISNUMBER(SEARCH(_xlpm.pkg_list,_xlpm.src)),0)),"NA"),_xlpm.is_C,OR(ISNUMBER(SEARCH({"UF","NF","PF","CAP"," C "}," "&amp;_xlpm.src&amp;" "))),_xlpm.is_R,OR(ISNUMBER(SEARCH({"K","M","OHM","RES"," R "}," "&amp;_xlpm.src&amp;" ")),AND(NOT(_xlpm.is_C),ISNUMBER(SEARCH("R",_xlpm.src)))),_xlpm.type_m,IF(_xlpm.is_C,"电容",IF(_xlpm.is_R,"电阻","其他")),_xlpm.rem_text,SUBSTITUTE(_xlpm.src,_xlpm.pkg,""),_xlpm.v_raw,MID(_xlpm.rem_text,MIN(IFERROR(SEARCH({0,1,2,3,4,5,6,7,8,9},_xlpm.rem_text),999)),10),_xlpm.val_pure,TRIM(LEFT(_xlpm.v_raw,MIN(IFERROR(SEARCH({" ","F","J","%","/"},_xlpm.v_raw&amp;" "),999))-1)),_xlpm.unit_mult,IF(_xlpm.type_m="电阻",0,IF(ISNUMBER(SEARCH("UF",_xlpm.src)),1000000,IF(ISNUMBER(SEARCH("NF",_xlpm.src)),1000,IF(ISNUMBER(SEARCH("PF",_xlpm.src)),1,0)))),_xlpm.final_val,IF(_xlpm.unit_mult=0,_xlpm.val_pure,_xlfn.LET(_xlpm.num,IFERROR(LOOKUP(9.9E+307,--MID(_xlpm.val_pure,1,{1,2,3,4,5,6,7})),0),_xlpm.pf,_xlpm.num*_xlpm.unit_mult,IF(_xlpm.pf=0,_xlpm.val_pure,_xlfn.LET(_xlpm.pwr,INT(LOG10(_xlpm.pf))-1,ROUND(_xlpm.pf/(10^_xlpm.pwr),0)&amp;_xlpm.pwr)))),_xlpm.tol,IF(OR(ISNUMBER(SEARCH(" F "," "&amp;_xlpm.src&amp;" ")),ISNUMBER(SEARCH("1%",_xlpm.src))),"1%",IF(OR(ISNUMBER(SEARCH(" J "," "&amp;_xlpm.src&amp;" ")),ISNUMBER(SEARCH("5%",_xlpm.src))),"5%","")),TRIM(_xlpm.type_m&amp;" "&amp;_xlpm.pkg&amp;" "&amp;_xlpm.final_val&amp;IF(_xlpm.type_m="电阻","Ω","")&amp;" "&amp;_xlpm.tol))))</f>
        <v/>
      </c>
      <c r="F9" s="8"/>
      <c r="G9" s="8"/>
    </row>
    <row r="10" ht="15" spans="1:7">
      <c r="A10" s="6"/>
      <c r="B10" s="8"/>
      <c r="C10" s="8"/>
      <c r="D10" s="8"/>
      <c r="E10" s="10" t="str" cm="1">
        <f t="array" ref="E10">_xlfn.LET(_xlpm.src_cell,A10,_xlpm.src,UPPER(TRIM(_xlpm.src_cell)),IF(_xlpm.src="","",_xlfn.LET(_xlpm.pkg_list,{"01005","0201","0402","0603","0805","1206","1210","1812","2010","2512"},_xlpm.pkg,IFERROR(INDEX(_xlpm.pkg_list,MATCH(TRUE,ISNUMBER(SEARCH(_xlpm.pkg_list,_xlpm.src)),0)),"NA"),_xlpm.is_C,OR(ISNUMBER(SEARCH({"UF","NF","PF","CAP"," C "}," "&amp;_xlpm.src&amp;" "))),_xlpm.is_R,OR(ISNUMBER(SEARCH({"K","M","OHM","RES"," R "}," "&amp;_xlpm.src&amp;" ")),AND(NOT(_xlpm.is_C),ISNUMBER(SEARCH("R",_xlpm.src)))),_xlpm.type_m,IF(_xlpm.is_C,"电容",IF(_xlpm.is_R,"电阻","其他")),_xlpm.rem_text,SUBSTITUTE(_xlpm.src,_xlpm.pkg,""),_xlpm.v_raw,MID(_xlpm.rem_text,MIN(IFERROR(SEARCH({0,1,2,3,4,5,6,7,8,9},_xlpm.rem_text),999)),10),_xlpm.val_pure,TRIM(LEFT(_xlpm.v_raw,MIN(IFERROR(SEARCH({" ","F","J","%","/"},_xlpm.v_raw&amp;" "),999))-1)),_xlpm.unit_mult,IF(_xlpm.type_m="电阻",0,IF(ISNUMBER(SEARCH("UF",_xlpm.src)),1000000,IF(ISNUMBER(SEARCH("NF",_xlpm.src)),1000,IF(ISNUMBER(SEARCH("PF",_xlpm.src)),1,0)))),_xlpm.final_val,IF(_xlpm.unit_mult=0,_xlpm.val_pure,_xlfn.LET(_xlpm.num,IFERROR(LOOKUP(9.9E+307,--MID(_xlpm.val_pure,1,{1,2,3,4,5,6,7})),0),_xlpm.pf,_xlpm.num*_xlpm.unit_mult,IF(_xlpm.pf=0,_xlpm.val_pure,_xlfn.LET(_xlpm.pwr,INT(LOG10(_xlpm.pf))-1,ROUND(_xlpm.pf/(10^_xlpm.pwr),0)&amp;_xlpm.pwr)))),_xlpm.tol,IF(OR(ISNUMBER(SEARCH(" F "," "&amp;_xlpm.src&amp;" ")),ISNUMBER(SEARCH("1%",_xlpm.src))),"1%",IF(OR(ISNUMBER(SEARCH(" J "," "&amp;_xlpm.src&amp;" ")),ISNUMBER(SEARCH("5%",_xlpm.src))),"5%","")),TRIM(_xlpm.type_m&amp;" "&amp;_xlpm.pkg&amp;" "&amp;_xlpm.final_val&amp;IF(_xlpm.type_m="电阻","Ω","")&amp;" "&amp;_xlpm.tol))))</f>
        <v/>
      </c>
      <c r="F10" s="8"/>
      <c r="G10" s="8"/>
    </row>
    <row r="11" ht="15" spans="1:7">
      <c r="A11" s="8"/>
      <c r="B11" s="8"/>
      <c r="C11" s="8"/>
      <c r="D11" s="8"/>
      <c r="E11" s="10" t="str" cm="1">
        <f t="array" ref="E11">_xlfn.LET(_xlpm.src_cell,A11,_xlpm.src,UPPER(TRIM(_xlpm.src_cell)),IF(_xlpm.src="","",_xlfn.LET(_xlpm.pkg_list,{"01005","0201","0402","0603","0805","1206","1210","1812","2010","2512"},_xlpm.pkg,IFERROR(INDEX(_xlpm.pkg_list,MATCH(TRUE,ISNUMBER(SEARCH(_xlpm.pkg_list,_xlpm.src)),0)),"NA"),_xlpm.is_C,OR(ISNUMBER(SEARCH({"UF","NF","PF","CAP"," C "}," "&amp;_xlpm.src&amp;" "))),_xlpm.is_R,OR(ISNUMBER(SEARCH({"K","M","OHM","RES"," R "}," "&amp;_xlpm.src&amp;" ")),AND(NOT(_xlpm.is_C),ISNUMBER(SEARCH("R",_xlpm.src)))),_xlpm.type_m,IF(_xlpm.is_C,"电容",IF(_xlpm.is_R,"电阻","其他")),_xlpm.rem_text,SUBSTITUTE(_xlpm.src,_xlpm.pkg,""),_xlpm.v_raw,MID(_xlpm.rem_text,MIN(IFERROR(SEARCH({0,1,2,3,4,5,6,7,8,9},_xlpm.rem_text),999)),10),_xlpm.val_pure,TRIM(LEFT(_xlpm.v_raw,MIN(IFERROR(SEARCH({" ","F","J","%","/"},_xlpm.v_raw&amp;" "),999))-1)),_xlpm.unit_mult,IF(_xlpm.type_m="电阻",0,IF(ISNUMBER(SEARCH("UF",_xlpm.src)),1000000,IF(ISNUMBER(SEARCH("NF",_xlpm.src)),1000,IF(ISNUMBER(SEARCH("PF",_xlpm.src)),1,0)))),_xlpm.final_val,IF(_xlpm.unit_mult=0,_xlpm.val_pure,_xlfn.LET(_xlpm.num,IFERROR(LOOKUP(9.9E+307,--MID(_xlpm.val_pure,1,{1,2,3,4,5,6,7})),0),_xlpm.pf,_xlpm.num*_xlpm.unit_mult,IF(_xlpm.pf=0,_xlpm.val_pure,_xlfn.LET(_xlpm.pwr,INT(LOG10(_xlpm.pf))-1,ROUND(_xlpm.pf/(10^_xlpm.pwr),0)&amp;_xlpm.pwr)))),_xlpm.tol,IF(OR(ISNUMBER(SEARCH(" F "," "&amp;_xlpm.src&amp;" ")),ISNUMBER(SEARCH("1%",_xlpm.src))),"1%",IF(OR(ISNUMBER(SEARCH(" J "," "&amp;_xlpm.src&amp;" ")),ISNUMBER(SEARCH("5%",_xlpm.src))),"5%","")),TRIM(_xlpm.type_m&amp;" "&amp;_xlpm.pkg&amp;" "&amp;_xlpm.final_val&amp;IF(_xlpm.type_m="电阻","Ω","")&amp;" "&amp;_xlpm.tol))))</f>
        <v/>
      </c>
      <c r="F11" s="8"/>
      <c r="G11" s="8"/>
    </row>
    <row r="12" ht="15" spans="1:7">
      <c r="A12" s="8"/>
      <c r="B12" s="8"/>
      <c r="C12" s="8"/>
      <c r="D12" s="8"/>
      <c r="E12" s="10" t="str" cm="1">
        <f t="array" ref="E12">_xlfn.LET(_xlpm.src_cell,A12,_xlpm.src,UPPER(TRIM(_xlpm.src_cell)),IF(_xlpm.src="","",_xlfn.LET(_xlpm.pkg_list,{"01005","0201","0402","0603","0805","1206","1210","1812","2010","2512"},_xlpm.pkg,IFERROR(INDEX(_xlpm.pkg_list,MATCH(TRUE,ISNUMBER(SEARCH(_xlpm.pkg_list,_xlpm.src)),0)),"NA"),_xlpm.is_C,OR(ISNUMBER(SEARCH({"UF","NF","PF","CAP"," C "}," "&amp;_xlpm.src&amp;" "))),_xlpm.is_R,OR(ISNUMBER(SEARCH({"K","M","OHM","RES"," R "}," "&amp;_xlpm.src&amp;" ")),AND(NOT(_xlpm.is_C),ISNUMBER(SEARCH("R",_xlpm.src)))),_xlpm.type_m,IF(_xlpm.is_C,"电容",IF(_xlpm.is_R,"电阻","其他")),_xlpm.rem_text,SUBSTITUTE(_xlpm.src,_xlpm.pkg,""),_xlpm.v_raw,MID(_xlpm.rem_text,MIN(IFERROR(SEARCH({0,1,2,3,4,5,6,7,8,9},_xlpm.rem_text),999)),10),_xlpm.val_pure,TRIM(LEFT(_xlpm.v_raw,MIN(IFERROR(SEARCH({" ","F","J","%","/"},_xlpm.v_raw&amp;" "),999))-1)),_xlpm.unit_mult,IF(_xlpm.type_m="电阻",0,IF(ISNUMBER(SEARCH("UF",_xlpm.src)),1000000,IF(ISNUMBER(SEARCH("NF",_xlpm.src)),1000,IF(ISNUMBER(SEARCH("PF",_xlpm.src)),1,0)))),_xlpm.final_val,IF(_xlpm.unit_mult=0,_xlpm.val_pure,_xlfn.LET(_xlpm.num,IFERROR(LOOKUP(9.9E+307,--MID(_xlpm.val_pure,1,{1,2,3,4,5,6,7})),0),_xlpm.pf,_xlpm.num*_xlpm.unit_mult,IF(_xlpm.pf=0,_xlpm.val_pure,_xlfn.LET(_xlpm.pwr,INT(LOG10(_xlpm.pf))-1,ROUND(_xlpm.pf/(10^_xlpm.pwr),0)&amp;_xlpm.pwr)))),_xlpm.tol,IF(OR(ISNUMBER(SEARCH(" F "," "&amp;_xlpm.src&amp;" ")),ISNUMBER(SEARCH("1%",_xlpm.src))),"1%",IF(OR(ISNUMBER(SEARCH(" J "," "&amp;_xlpm.src&amp;" ")),ISNUMBER(SEARCH("5%",_xlpm.src))),"5%","")),TRIM(_xlpm.type_m&amp;" "&amp;_xlpm.pkg&amp;" "&amp;_xlpm.final_val&amp;IF(_xlpm.type_m="电阻","Ω","")&amp;" "&amp;_xlpm.tol))))</f>
        <v/>
      </c>
      <c r="F12" s="8"/>
      <c r="G12" s="8"/>
    </row>
    <row r="13" ht="15" spans="1:7">
      <c r="A13" s="8"/>
      <c r="B13" s="8"/>
      <c r="C13" s="8"/>
      <c r="D13" s="8"/>
      <c r="E13" s="10" t="str" cm="1">
        <f t="array" ref="E13">_xlfn.LET(_xlpm.src_cell,A13,_xlpm.src,UPPER(TRIM(_xlpm.src_cell)),IF(_xlpm.src="","",_xlfn.LET(_xlpm.pkg_list,{"01005","0201","0402","0603","0805","1206","1210","1812","2010","2512"},_xlpm.pkg,IFERROR(INDEX(_xlpm.pkg_list,MATCH(TRUE,ISNUMBER(SEARCH(_xlpm.pkg_list,_xlpm.src)),0)),"NA"),_xlpm.is_C,OR(ISNUMBER(SEARCH({"UF","NF","PF","CAP"," C "}," "&amp;_xlpm.src&amp;" "))),_xlpm.is_R,OR(ISNUMBER(SEARCH({"K","M","OHM","RES"," R "}," "&amp;_xlpm.src&amp;" ")),AND(NOT(_xlpm.is_C),ISNUMBER(SEARCH("R",_xlpm.src)))),_xlpm.type_m,IF(_xlpm.is_C,"电容",IF(_xlpm.is_R,"电阻","其他")),_xlpm.rem_text,SUBSTITUTE(_xlpm.src,_xlpm.pkg,""),_xlpm.v_raw,MID(_xlpm.rem_text,MIN(IFERROR(SEARCH({0,1,2,3,4,5,6,7,8,9},_xlpm.rem_text),999)),10),_xlpm.val_pure,TRIM(LEFT(_xlpm.v_raw,MIN(IFERROR(SEARCH({" ","F","J","%","/"},_xlpm.v_raw&amp;" "),999))-1)),_xlpm.unit_mult,IF(_xlpm.type_m="电阻",0,IF(ISNUMBER(SEARCH("UF",_xlpm.src)),1000000,IF(ISNUMBER(SEARCH("NF",_xlpm.src)),1000,IF(ISNUMBER(SEARCH("PF",_xlpm.src)),1,0)))),_xlpm.final_val,IF(_xlpm.unit_mult=0,_xlpm.val_pure,_xlfn.LET(_xlpm.num,IFERROR(LOOKUP(9.9E+307,--MID(_xlpm.val_pure,1,{1,2,3,4,5,6,7})),0),_xlpm.pf,_xlpm.num*_xlpm.unit_mult,IF(_xlpm.pf=0,_xlpm.val_pure,_xlfn.LET(_xlpm.pwr,INT(LOG10(_xlpm.pf))-1,ROUND(_xlpm.pf/(10^_xlpm.pwr),0)&amp;_xlpm.pwr)))),_xlpm.tol,IF(OR(ISNUMBER(SEARCH(" F "," "&amp;_xlpm.src&amp;" ")),ISNUMBER(SEARCH("1%",_xlpm.src))),"1%",IF(OR(ISNUMBER(SEARCH(" J "," "&amp;_xlpm.src&amp;" ")),ISNUMBER(SEARCH("5%",_xlpm.src))),"5%","")),TRIM(_xlpm.type_m&amp;" "&amp;_xlpm.pkg&amp;" "&amp;_xlpm.final_val&amp;IF(_xlpm.type_m="电阻","Ω","")&amp;" "&amp;_xlpm.tol))))</f>
        <v/>
      </c>
      <c r="F13" s="8"/>
      <c r="G13" s="8"/>
    </row>
    <row r="14" ht="15" spans="1:7">
      <c r="A14" s="8"/>
      <c r="B14" s="8"/>
      <c r="C14" s="8"/>
      <c r="D14" s="8"/>
      <c r="E14" s="10" t="str" cm="1">
        <f t="array" ref="E14">_xlfn.LET(_xlpm.src_cell,A14,_xlpm.src,UPPER(TRIM(_xlpm.src_cell)),IF(_xlpm.src="","",_xlfn.LET(_xlpm.pkg_list,{"01005","0201","0402","0603","0805","1206","1210","1812","2010","2512"},_xlpm.pkg,IFERROR(INDEX(_xlpm.pkg_list,MATCH(TRUE,ISNUMBER(SEARCH(_xlpm.pkg_list,_xlpm.src)),0)),"NA"),_xlpm.type_m,IF(OR(ISNUMBER(SEARCH("CAP",_xlpm.src)),ISNUMBER(SEARCH(" C "," "&amp;_xlpm.src&amp;" "))),"C","R"),_xlpm.rem_text,SUBSTITUTE(_xlpm.src,_xlpm.pkg,""),_xlpm.val_raw,MID(_xlpm.rem_text,MIN(IFERROR(SEARCH({0,1,2,3,4,5,6,7,8,9},_xlpm.rem_text),999)),10),_xlpm.val_pure,TRIM(LEFT(_xlpm.val_raw,MIN(IFERROR(SEARCH({" ","F","J","%","/"},_xlpm.val_raw&amp;" "),999))-1)),_xlpm.unit_mult,IF(_xlpm.type_m="R",0,IF(ISNUMBER(SEARCH("UF",_xlpm.src)),1000000,IF(ISNUMBER(SEARCH("NF",_xlpm.src)),1000,IF(ISNUMBER(SEARCH("PF",_xlpm.src)),1,0)))),_xlpm.final_val,IF(_xlpm.unit_mult=0,_xlpm.val_pure,_xlfn.LET(_xlpm.num,LOOKUP(9.9E+307,--MID(_xlpm.val_pure,1,{1,2,3,4,5,6,7})),_xlpm.pf,_xlpm.num*_xlpm.unit_mult,_xlpm.pwr,INT(LOG10(_xlpm.pf))-1,ROUND(_xlpm.pf/(10^_xlpm.pwr),0)&amp;_xlpm.pwr)),_xlpm.tol,IF(OR(ISNUMBER(SEARCH(" F "," "&amp;_xlpm.src&amp;" ")),ISNUMBER(SEARCH("1%",_xlpm.src))),"1%",IF(OR(ISNUMBER(SEARCH(" J "," "&amp;_xlpm.src&amp;" ")),ISNUMBER(SEARCH("5%",_xlpm.src))),"5%","")),TRIM(_xlpm.pkg&amp;" "&amp;_xlpm.type_m&amp;" "&amp;_xlpm.final_val&amp;IF(_xlpm.type_m="R","Ω","")&amp;" "&amp;_xlpm.tol))))</f>
        <v/>
      </c>
      <c r="F14" s="8"/>
      <c r="G14" s="8"/>
    </row>
    <row r="15" ht="15" spans="1:7">
      <c r="A15" s="8"/>
      <c r="B15" s="8"/>
      <c r="C15" s="8"/>
      <c r="D15" s="8"/>
      <c r="E15" s="10" t="str" cm="1">
        <f t="array" ref="E15">_xlfn.LET(_xlpm.src_cell,A15,_xlpm.src,UPPER(TRIM(_xlpm.src_cell)),IF(_xlpm.src="","",_xlfn.LET(_xlpm.pkg_list,{"01005","0201","0402","0603","0805","1206","1210","1812","2010","2512"},_xlpm.pkg,IFERROR(INDEX(_xlpm.pkg_list,MATCH(TRUE,ISNUMBER(SEARCH(_xlpm.pkg_list,_xlpm.src)),0)),"NA"),_xlpm.type_m,IF(OR(ISNUMBER(SEARCH("CAP",_xlpm.src)),ISNUMBER(SEARCH(" C "," "&amp;_xlpm.src&amp;" "))),"C","R"),_xlpm.rem_text,SUBSTITUTE(_xlpm.src,_xlpm.pkg,""),_xlpm.val_raw,MID(_xlpm.rem_text,MIN(IFERROR(SEARCH({0,1,2,3,4,5,6,7,8,9},_xlpm.rem_text),999)),10),_xlpm.val_pure,TRIM(LEFT(_xlpm.val_raw,MIN(IFERROR(SEARCH({" ","F","J","%","/"},_xlpm.val_raw&amp;" "),999))-1)),_xlpm.unit_mult,IF(_xlpm.type_m="R",0,IF(ISNUMBER(SEARCH("UF",_xlpm.src)),1000000,IF(ISNUMBER(SEARCH("NF",_xlpm.src)),1000,IF(ISNUMBER(SEARCH("PF",_xlpm.src)),1,0)))),_xlpm.final_val,IF(_xlpm.unit_mult=0,_xlpm.val_pure,_xlfn.LET(_xlpm.num,LOOKUP(9.9E+307,--MID(_xlpm.val_pure,1,{1,2,3,4,5,6,7})),_xlpm.pf,_xlpm.num*_xlpm.unit_mult,_xlpm.pwr,INT(LOG10(_xlpm.pf))-1,ROUND(_xlpm.pf/(10^_xlpm.pwr),0)&amp;_xlpm.pwr)),_xlpm.tol,IF(OR(ISNUMBER(SEARCH(" F "," "&amp;_xlpm.src&amp;" ")),ISNUMBER(SEARCH("1%",_xlpm.src))),"1%",IF(OR(ISNUMBER(SEARCH(" J "," "&amp;_xlpm.src&amp;" ")),ISNUMBER(SEARCH("5%",_xlpm.src))),"5%","")),TRIM(_xlpm.pkg&amp;" "&amp;_xlpm.type_m&amp;" "&amp;_xlpm.final_val&amp;IF(_xlpm.type_m="R","Ω","")&amp;" "&amp;_xlpm.tol))))</f>
        <v/>
      </c>
      <c r="F15" s="8"/>
      <c r="G15" s="8"/>
    </row>
    <row r="16" ht="15" spans="1:7">
      <c r="A16" s="8"/>
      <c r="B16" s="8"/>
      <c r="C16" s="8"/>
      <c r="D16" s="8"/>
      <c r="E16" s="10" t="str" cm="1">
        <f t="array" ref="E16">_xlfn.LET(_xlpm.src_cell,A16,_xlpm.src,UPPER(TRIM(_xlpm.src_cell)),IF(_xlpm.src="","",_xlfn.LET(_xlpm.pkg_list,{"01005","0201","0402","0603","0805","1206","1210","1812","2010","2512"},_xlpm.pkg,IFERROR(INDEX(_xlpm.pkg_list,MATCH(TRUE,ISNUMBER(SEARCH(_xlpm.pkg_list,_xlpm.src)),0)),"NA"),_xlpm.type_m,IF(OR(ISNUMBER(SEARCH("CAP",_xlpm.src)),ISNUMBER(SEARCH(" C "," "&amp;_xlpm.src&amp;" "))),"C","R"),_xlpm.rem_text,SUBSTITUTE(_xlpm.src,_xlpm.pkg,""),_xlpm.val_raw,MID(_xlpm.rem_text,MIN(IFERROR(SEARCH({0,1,2,3,4,5,6,7,8,9},_xlpm.rem_text),999)),10),_xlpm.val_pure,TRIM(LEFT(_xlpm.val_raw,MIN(IFERROR(SEARCH({" ","F","J","%","/"},_xlpm.val_raw&amp;" "),999))-1)),_xlpm.unit_mult,IF(_xlpm.type_m="R",0,IF(ISNUMBER(SEARCH("UF",_xlpm.src)),1000000,IF(ISNUMBER(SEARCH("NF",_xlpm.src)),1000,IF(ISNUMBER(SEARCH("PF",_xlpm.src)),1,0)))),_xlpm.final_val,IF(_xlpm.unit_mult=0,_xlpm.val_pure,_xlfn.LET(_xlpm.num,LOOKUP(9.9E+307,--MID(_xlpm.val_pure,1,{1,2,3,4,5,6,7})),_xlpm.pf,_xlpm.num*_xlpm.unit_mult,_xlpm.pwr,INT(LOG10(_xlpm.pf))-1,ROUND(_xlpm.pf/(10^_xlpm.pwr),0)&amp;_xlpm.pwr)),_xlpm.tol,IF(OR(ISNUMBER(SEARCH(" F "," "&amp;_xlpm.src&amp;" ")),ISNUMBER(SEARCH("1%",_xlpm.src))),"1%",IF(OR(ISNUMBER(SEARCH(" J "," "&amp;_xlpm.src&amp;" ")),ISNUMBER(SEARCH("5%",_xlpm.src))),"5%","")),TRIM(_xlpm.pkg&amp;" "&amp;_xlpm.type_m&amp;" "&amp;_xlpm.final_val&amp;IF(_xlpm.type_m="R","Ω","")&amp;" "&amp;_xlpm.tol))))</f>
        <v/>
      </c>
      <c r="F16" s="8"/>
      <c r="G16" s="8"/>
    </row>
  </sheetData>
  <sortState ref="A1:E1">
    <sortCondition ref="A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zoomScale="160" zoomScaleNormal="160" workbookViewId="0">
      <selection activeCell="F8" sqref="F8"/>
    </sheetView>
  </sheetViews>
  <sheetFormatPr defaultColWidth="9" defaultRowHeight="13.5" outlineLevelCol="1"/>
  <cols>
    <col min="1" max="2" width="9" style="1"/>
  </cols>
  <sheetData>
    <row r="1" ht="26.25" spans="1:2">
      <c r="A1" s="2" t="s">
        <v>12</v>
      </c>
      <c r="B1" s="2" t="s">
        <v>13</v>
      </c>
    </row>
    <row r="2" spans="1:2">
      <c r="A2" s="2" t="s">
        <v>14</v>
      </c>
      <c r="B2" s="2" t="s">
        <v>15</v>
      </c>
    </row>
    <row r="3" spans="1:2">
      <c r="A3" s="11" t="s">
        <v>16</v>
      </c>
      <c r="B3" s="2" t="s">
        <v>17</v>
      </c>
    </row>
    <row r="4" spans="1:2">
      <c r="A4" s="11" t="s">
        <v>18</v>
      </c>
      <c r="B4" s="2" t="s">
        <v>17</v>
      </c>
    </row>
    <row r="5" spans="1:2">
      <c r="A5" s="11" t="s">
        <v>19</v>
      </c>
      <c r="B5" s="2" t="s">
        <v>17</v>
      </c>
    </row>
    <row r="6" spans="1:2">
      <c r="A6" s="11" t="s">
        <v>20</v>
      </c>
      <c r="B6" s="2" t="s">
        <v>17</v>
      </c>
    </row>
    <row r="7" spans="1:2">
      <c r="A7" s="11" t="s">
        <v>21</v>
      </c>
      <c r="B7" s="2" t="s">
        <v>17</v>
      </c>
    </row>
    <row r="8" spans="1:2">
      <c r="A8" s="2">
        <v>1206</v>
      </c>
      <c r="B8" s="2" t="s">
        <v>17</v>
      </c>
    </row>
    <row r="9" spans="1:2">
      <c r="A9" s="2">
        <v>1210</v>
      </c>
      <c r="B9" s="2" t="s">
        <v>17</v>
      </c>
    </row>
    <row r="10" spans="1:2">
      <c r="A10" s="2">
        <v>1812</v>
      </c>
      <c r="B10" s="2" t="s">
        <v>17</v>
      </c>
    </row>
    <row r="11" spans="1:2">
      <c r="A11" s="2">
        <v>1810</v>
      </c>
      <c r="B11" s="2" t="s">
        <v>17</v>
      </c>
    </row>
    <row r="12" spans="1:2">
      <c r="A12" s="2">
        <v>2512</v>
      </c>
      <c r="B12" s="2" t="s">
        <v>17</v>
      </c>
    </row>
    <row r="13" spans="1:2">
      <c r="A13" s="2">
        <v>2010</v>
      </c>
      <c r="B13" s="2" t="s">
        <v>17</v>
      </c>
    </row>
    <row r="14" spans="1:2">
      <c r="A14" s="2" t="s">
        <v>22</v>
      </c>
      <c r="B14" s="2" t="s">
        <v>17</v>
      </c>
    </row>
    <row r="15" spans="1:2">
      <c r="A15" s="2" t="s">
        <v>23</v>
      </c>
      <c r="B15" s="2" t="s">
        <v>17</v>
      </c>
    </row>
    <row r="16" spans="1:2">
      <c r="A16" s="2" t="s">
        <v>24</v>
      </c>
      <c r="B16" s="2" t="s">
        <v>17</v>
      </c>
    </row>
    <row r="17" spans="1:2">
      <c r="A17" s="2" t="s">
        <v>25</v>
      </c>
      <c r="B17" s="2" t="s">
        <v>17</v>
      </c>
    </row>
    <row r="18" spans="1:2">
      <c r="A18" s="2" t="s">
        <v>26</v>
      </c>
      <c r="B18" s="2" t="s">
        <v>17</v>
      </c>
    </row>
    <row r="19" spans="1:2">
      <c r="A19" s="2" t="s">
        <v>27</v>
      </c>
      <c r="B19" s="2" t="s">
        <v>17</v>
      </c>
    </row>
    <row r="20" spans="1:2">
      <c r="A20" s="2" t="s">
        <v>28</v>
      </c>
      <c r="B20" s="2" t="s">
        <v>17</v>
      </c>
    </row>
    <row r="21" spans="1:2">
      <c r="A21" s="2" t="s">
        <v>29</v>
      </c>
      <c r="B21" s="2" t="s">
        <v>17</v>
      </c>
    </row>
    <row r="22" spans="1:2">
      <c r="A22" s="2" t="s">
        <v>30</v>
      </c>
      <c r="B22" s="2" t="s">
        <v>17</v>
      </c>
    </row>
    <row r="23" spans="1:2">
      <c r="A23" s="2" t="s">
        <v>31</v>
      </c>
      <c r="B23" s="2" t="s">
        <v>17</v>
      </c>
    </row>
    <row r="24" spans="1:2">
      <c r="A24" s="2" t="s">
        <v>32</v>
      </c>
      <c r="B24" s="2" t="s">
        <v>17</v>
      </c>
    </row>
    <row r="25" spans="1:2">
      <c r="A25" s="2" t="s">
        <v>17</v>
      </c>
      <c r="B25" s="2" t="s">
        <v>17</v>
      </c>
    </row>
    <row r="26" spans="1:2">
      <c r="A26" s="2" t="s">
        <v>33</v>
      </c>
      <c r="B26" s="2" t="s">
        <v>17</v>
      </c>
    </row>
    <row r="27" spans="1:2">
      <c r="A27" s="2" t="s">
        <v>34</v>
      </c>
      <c r="B27" s="2" t="s">
        <v>17</v>
      </c>
    </row>
    <row r="28" spans="1:2">
      <c r="A28" s="2" t="s">
        <v>35</v>
      </c>
      <c r="B28" s="2" t="s">
        <v>17</v>
      </c>
    </row>
    <row r="29" spans="1:2">
      <c r="A29" s="2" t="s">
        <v>36</v>
      </c>
      <c r="B29" s="2" t="s">
        <v>17</v>
      </c>
    </row>
    <row r="30" spans="1:2">
      <c r="A30" s="2" t="s">
        <v>37</v>
      </c>
      <c r="B30" s="2" t="s">
        <v>17</v>
      </c>
    </row>
    <row r="31" spans="1:2">
      <c r="A31" s="2" t="s">
        <v>38</v>
      </c>
      <c r="B31" s="2" t="s">
        <v>17</v>
      </c>
    </row>
    <row r="32" spans="1:2">
      <c r="A32" s="2" t="s">
        <v>39</v>
      </c>
      <c r="B32" s="2" t="s">
        <v>17</v>
      </c>
    </row>
    <row r="33" spans="1:2">
      <c r="A33" s="2" t="s">
        <v>40</v>
      </c>
      <c r="B33" s="2" t="s">
        <v>17</v>
      </c>
    </row>
    <row r="34" spans="1:2">
      <c r="A34" s="2" t="s">
        <v>41</v>
      </c>
      <c r="B34" s="2" t="s">
        <v>42</v>
      </c>
    </row>
    <row r="35" spans="1:2">
      <c r="A35" s="2" t="s">
        <v>43</v>
      </c>
      <c r="B35" s="2" t="s">
        <v>42</v>
      </c>
    </row>
    <row r="36" spans="1:2">
      <c r="A36" s="2" t="s">
        <v>44</v>
      </c>
      <c r="B36" s="2" t="s">
        <v>42</v>
      </c>
    </row>
    <row r="37" spans="1:2">
      <c r="A37" s="2" t="s">
        <v>45</v>
      </c>
      <c r="B37" s="2" t="s">
        <v>42</v>
      </c>
    </row>
    <row r="38" spans="1:2">
      <c r="A38" s="2" t="s">
        <v>46</v>
      </c>
      <c r="B38" s="2" t="s">
        <v>42</v>
      </c>
    </row>
    <row r="39" spans="1:2">
      <c r="A39" s="2" t="s">
        <v>47</v>
      </c>
      <c r="B39" s="2" t="s">
        <v>42</v>
      </c>
    </row>
    <row r="40" spans="1:2">
      <c r="A40" s="2" t="s">
        <v>48</v>
      </c>
      <c r="B40" s="2" t="s">
        <v>42</v>
      </c>
    </row>
    <row r="41" spans="1:2">
      <c r="A41" s="2" t="s">
        <v>49</v>
      </c>
      <c r="B41" s="2" t="s">
        <v>42</v>
      </c>
    </row>
  </sheetData>
  <autoFilter xmlns:etc="http://www.wps.cn/officeDocument/2017/etCustomData" ref="A1:B41" etc:filterBottomFollowUsedRange="0">
    <sortState ref="A2:B41">
      <sortCondition ref="B1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>
    <row r="1" spans="1:1">
      <c r="A1" t="s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D12" sqref="D12"/>
    </sheetView>
  </sheetViews>
  <sheetFormatPr defaultColWidth="9" defaultRowHeight="13.5" outlineLevelRow="1"/>
  <cols>
    <col min="1" max="1" width="20.75" customWidth="1"/>
  </cols>
  <sheetData>
    <row r="1" spans="1:1">
      <c r="A1" t="s">
        <v>51</v>
      </c>
    </row>
    <row r="2" spans="1:1">
      <c r="A2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T_USER</dc:creator>
  <cp:lastModifiedBy>T_USER</cp:lastModifiedBy>
  <dcterms:created xsi:type="dcterms:W3CDTF">2026-02-12T17:14:00Z</dcterms:created>
  <dcterms:modified xsi:type="dcterms:W3CDTF">2026-02-13T04:24:51Z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DF3DC718A3A44074A309AB48BDBC1A28_11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